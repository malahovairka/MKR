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-105" yWindow="-105" windowWidth="20730" windowHeight="11760" activeTab="1"/>
  </bookViews>
  <sheets>
    <sheet name="ro=const" sheetId="1" r:id="rId1"/>
    <sheet name="ro=var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L4" i="1" l="1"/>
  <c r="I3" i="2"/>
  <c r="I4" i="2" s="1"/>
  <c r="I16" i="2"/>
  <c r="I17" i="2" s="1"/>
  <c r="M16" i="2"/>
  <c r="M17" i="2" s="1"/>
  <c r="M18" i="2" s="1"/>
  <c r="Q16" i="2"/>
  <c r="Q17" i="2" s="1"/>
  <c r="O4" i="1"/>
  <c r="K4" i="1"/>
  <c r="N4" i="1"/>
  <c r="J4" i="1"/>
  <c r="M4" i="1"/>
  <c r="I4" i="1"/>
  <c r="J16" i="2"/>
  <c r="J17" i="2" s="1"/>
  <c r="N16" i="2"/>
  <c r="N17" i="2" s="1"/>
  <c r="I22" i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<sst xmlns="http://schemas.openxmlformats.org/spreadsheetml/2006/main" count="58" uniqueCount="25">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</sst>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Fill="1" applyBorder="1"/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165" fontId="2" fillId="5" borderId="1" xfId="0" applyNumberFormat="1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164" fontId="0" fillId="3" borderId="1" xfId="0" applyNumberFormat="1" applyFont="1" applyFill="1" applyBorder="1" applyAlignment="1">
      <alignment horizontal="center"/>
    </xf>
    <xf numFmtId="0" fontId="0" fillId="7" borderId="1" xfId="0" applyFont="1" applyFill="1" applyBorder="1"/>
    <xf numFmtId="0" fontId="0" fillId="8" borderId="1" xfId="0" applyFont="1" applyFill="1" applyBorder="1"/>
    <xf numFmtId="165" fontId="0" fillId="7" borderId="1" xfId="0" applyNumberFormat="1" applyFont="1" applyFill="1" applyBorder="1" applyAlignment="1">
      <alignment horizontal="center"/>
    </xf>
    <xf numFmtId="1" fontId="0" fillId="7" borderId="1" xfId="0" applyNumberFormat="1" applyFont="1" applyFill="1" applyBorder="1" applyAlignment="1">
      <alignment horizontal="center"/>
    </xf>
    <xf numFmtId="166" fontId="0" fillId="7" borderId="1" xfId="0" applyNumberFormat="1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08960"/>
        <c:axId val="155619328"/>
      </c:scatterChart>
      <c:valAx>
        <c:axId val="155608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5619328"/>
        <c:crosses val="autoZero"/>
        <c:crossBetween val="midCat"/>
        <c:majorUnit val="1.0000000000000002E-2"/>
      </c:valAx>
      <c:valAx>
        <c:axId val="15561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56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49792"/>
        <c:axId val="156051712"/>
      </c:scatterChart>
      <c:valAx>
        <c:axId val="156049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051712"/>
        <c:crosses val="autoZero"/>
        <c:crossBetween val="midCat"/>
        <c:majorUnit val="1.0000000000000002E-2"/>
      </c:valAx>
      <c:valAx>
        <c:axId val="1560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04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78080"/>
        <c:axId val="156080000"/>
      </c:scatterChart>
      <c:valAx>
        <c:axId val="156078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080000"/>
        <c:crosses val="autoZero"/>
        <c:crossBetween val="midCat"/>
        <c:majorUnit val="1.0000000000000002E-2"/>
      </c:valAx>
      <c:valAx>
        <c:axId val="156080000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078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2016"/>
        <c:axId val="156190208"/>
      </c:scatterChart>
      <c:valAx>
        <c:axId val="1561020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190208"/>
        <c:crosses val="autoZero"/>
        <c:crossBetween val="midCat"/>
        <c:majorUnit val="1.0000000000000002E-2"/>
      </c:valAx>
      <c:valAx>
        <c:axId val="15619020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10201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ln>
      <a:solidFill>
        <a:schemeClr val="accent4">
          <a:lumMod val="60000"/>
          <a:lumOff val="4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27456"/>
        <c:axId val="156233728"/>
      </c:scatterChart>
      <c:valAx>
        <c:axId val="1562274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233728"/>
        <c:crosses val="autoZero"/>
        <c:crossBetween val="midCat"/>
        <c:majorUnit val="1.0000000000000002E-2"/>
      </c:valAx>
      <c:valAx>
        <c:axId val="15623372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227456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ln>
      <a:solidFill>
        <a:schemeClr val="accent4">
          <a:lumMod val="60000"/>
          <a:lumOff val="4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383104"/>
        <c:axId val="156385280"/>
      </c:scatterChart>
      <c:valAx>
        <c:axId val="1563831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385280"/>
        <c:crosses val="autoZero"/>
        <c:crossBetween val="midCat"/>
        <c:majorUnit val="1.0000000000000002E-2"/>
      </c:valAx>
      <c:valAx>
        <c:axId val="1563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38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16640"/>
        <c:axId val="156422912"/>
      </c:scatterChart>
      <c:valAx>
        <c:axId val="1564166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422912"/>
        <c:crosses val="autoZero"/>
        <c:crossBetween val="midCat"/>
        <c:majorUnit val="1.0000000000000002E-2"/>
      </c:valAx>
      <c:valAx>
        <c:axId val="15642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41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69120"/>
        <c:axId val="156479488"/>
      </c:scatterChart>
      <c:valAx>
        <c:axId val="1564691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479488"/>
        <c:crosses val="autoZero"/>
        <c:crossBetween val="midCat"/>
        <c:majorUnit val="1.0000000000000002E-2"/>
      </c:valAx>
      <c:valAx>
        <c:axId val="156479488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46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71136"/>
        <c:axId val="156573056"/>
      </c:scatterChart>
      <c:valAx>
        <c:axId val="1565711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573056"/>
        <c:crosses val="autoZero"/>
        <c:crossBetween val="midCat"/>
        <c:majorUnit val="1.0000000000000002E-2"/>
      </c:valAx>
      <c:valAx>
        <c:axId val="15657305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571136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ln>
      <a:solidFill>
        <a:schemeClr val="accent4">
          <a:lumMod val="60000"/>
          <a:lumOff val="4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17728"/>
        <c:axId val="156619904"/>
      </c:scatterChart>
      <c:valAx>
        <c:axId val="156617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619904"/>
        <c:crosses val="autoZero"/>
        <c:crossBetween val="midCat"/>
        <c:majorUnit val="1.0000000000000002E-2"/>
      </c:valAx>
      <c:valAx>
        <c:axId val="156619904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56617728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ln>
      <a:solidFill>
        <a:schemeClr val="accent4">
          <a:lumMod val="60000"/>
          <a:lumOff val="4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223155</xdr:colOff>
      <xdr:row>23</xdr:row>
      <xdr:rowOff>137432</xdr:rowOff>
    </xdr:from>
    <xdr:to>
      <xdr:col>7</xdr:col>
      <xdr:colOff>232680</xdr:colOff>
      <xdr:row>44</xdr:row>
      <xdr:rowOff>99332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435429</xdr:colOff>
      <xdr:row>23</xdr:row>
      <xdr:rowOff>122463</xdr:rowOff>
    </xdr:from>
    <xdr:to>
      <xdr:col>14</xdr:col>
      <xdr:colOff>597354</xdr:colOff>
      <xdr:row>44</xdr:row>
      <xdr:rowOff>84363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473528</xdr:colOff>
      <xdr:row>30</xdr:row>
      <xdr:rowOff>130628</xdr:rowOff>
    </xdr:from>
    <xdr:to>
      <xdr:col>25</xdr:col>
      <xdr:colOff>23131</xdr:colOff>
      <xdr:row>55</xdr:row>
      <xdr:rowOff>131989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333376</xdr:colOff>
      <xdr:row>19</xdr:row>
      <xdr:rowOff>28574</xdr:rowOff>
    </xdr:from>
    <xdr:to>
      <xdr:col>14</xdr:col>
      <xdr:colOff>495301</xdr:colOff>
      <xdr:row>40</xdr:row>
      <xdr:rowOff>76199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321469</xdr:colOff>
      <xdr:row>41</xdr:row>
      <xdr:rowOff>28575</xdr:rowOff>
    </xdr:from>
    <xdr:to>
      <xdr:col>14</xdr:col>
      <xdr:colOff>483394</xdr:colOff>
      <xdr:row>62</xdr:row>
      <xdr:rowOff>81643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V29"/>
  <sheetViews>
    <sheetView topLeftCell="A19" zoomScale="70" zoomScaleNormal="70" workbookViewId="0">
      <selection activeCell="G3" sqref="G3"/>
    </sheetView>
  </sheetViews>
  <sheetFormatPr defaultRowHeight="15" x14ac:dyDescent="0.25"/>
  <cols>
    <col min="7" max="7" width="11.140625" bestFit="1" customWidth="1"/>
  </cols>
  <sheetData>
    <row r="1" spans="2:17" ht="14.45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ht="14.45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ht="14.45" x14ac:dyDescent="0.3">
      <c r="B3" s="3" t="s">
        <v>0</v>
      </c>
      <c r="C3" s="3">
        <v>0.1</v>
      </c>
      <c r="D3" s="2"/>
      <c r="E3" s="2"/>
      <c r="F3" s="3" t="s">
        <v>3</v>
      </c>
      <c r="G3" s="19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19">
        <v>0.04</v>
      </c>
    </row>
    <row r="4" spans="2:17" ht="14.45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7">
        <f>(PI()*(2*G3)^2)/4</f>
        <v>2.0106192982974676E-2</v>
      </c>
      <c r="H4" s="7">
        <f t="shared" ref="H4:Q4" si="2">(PI()*(2*H3)^2)/4</f>
        <v>1.8145839167134643E-2</v>
      </c>
      <c r="I4" s="7">
        <f t="shared" si="2"/>
        <v>1.6286016316209486E-2</v>
      </c>
      <c r="J4" s="7">
        <f t="shared" si="2"/>
        <v>1.4526724430199199E-2</v>
      </c>
      <c r="K4" s="7">
        <f t="shared" si="2"/>
        <v>1.2867963509103787E-2</v>
      </c>
      <c r="L4" s="7">
        <f t="shared" si="2"/>
        <v>1.1309733552923249E-2</v>
      </c>
      <c r="M4" s="7">
        <f t="shared" si="2"/>
        <v>9.8520345616575841E-3</v>
      </c>
      <c r="N4" s="7">
        <f t="shared" si="2"/>
        <v>8.4948665353067939E-3</v>
      </c>
      <c r="O4" s="7">
        <f t="shared" si="2"/>
        <v>7.2382294738708754E-3</v>
      </c>
      <c r="P4" s="7">
        <f t="shared" si="2"/>
        <v>6.0821233773498311E-3</v>
      </c>
      <c r="Q4" s="7">
        <f t="shared" si="2"/>
        <v>5.0265482457436689E-3</v>
      </c>
    </row>
    <row r="5" spans="2:17" ht="14.45" x14ac:dyDescent="0.3">
      <c r="B5" s="2"/>
      <c r="C5" s="2"/>
      <c r="D5" s="2"/>
      <c r="E5" s="2"/>
      <c r="F5" s="13" t="s">
        <v>11</v>
      </c>
      <c r="G5" s="20">
        <v>57.361770732970903</v>
      </c>
      <c r="H5" s="20">
        <v>63.55893647553463</v>
      </c>
      <c r="I5" s="20">
        <v>70.828855833440514</v>
      </c>
      <c r="J5" s="20">
        <v>79.421668839555522</v>
      </c>
      <c r="K5" s="20">
        <v>89.677106167680876</v>
      </c>
      <c r="L5" s="20">
        <v>102.05150505930324</v>
      </c>
      <c r="M5" s="20">
        <v>117.16960557841188</v>
      </c>
      <c r="N5" s="20">
        <v>135.90540256665204</v>
      </c>
      <c r="O5" s="20">
        <v>159.51222826440323</v>
      </c>
      <c r="P5" s="20">
        <v>189.8393627020636</v>
      </c>
      <c r="Q5" s="20">
        <v>229.70732955548328</v>
      </c>
    </row>
    <row r="6" spans="2:17" ht="14.45" x14ac:dyDescent="0.3">
      <c r="B6" s="14" t="s">
        <v>2</v>
      </c>
      <c r="C6" s="14">
        <v>1.4</v>
      </c>
      <c r="D6" s="2"/>
      <c r="E6" s="2"/>
      <c r="F6" s="13" t="s">
        <v>12</v>
      </c>
      <c r="G6" s="20">
        <v>133050.45415058901</v>
      </c>
      <c r="H6" s="20">
        <v>132583.67182289076</v>
      </c>
      <c r="I6" s="20">
        <v>131973.45583551101</v>
      </c>
      <c r="J6" s="20">
        <v>131164.70440047697</v>
      </c>
      <c r="K6" s="20">
        <v>130074.84097772367</v>
      </c>
      <c r="L6" s="20">
        <v>128578.34703624115</v>
      </c>
      <c r="M6" s="20">
        <v>126479.21849325717</v>
      </c>
      <c r="N6" s="20">
        <v>123461.82474043293</v>
      </c>
      <c r="O6" s="20">
        <v>118999.59303076175</v>
      </c>
      <c r="P6" s="20">
        <v>112177.19821167205</v>
      </c>
      <c r="Q6" s="20">
        <v>101325</v>
      </c>
    </row>
    <row r="7" spans="2:17" ht="14.45" x14ac:dyDescent="0.3">
      <c r="B7" s="14" t="s">
        <v>3</v>
      </c>
      <c r="C7" s="14">
        <v>286.97199999999998</v>
      </c>
      <c r="D7" s="2"/>
      <c r="E7" s="2"/>
      <c r="F7" s="13" t="s">
        <v>13</v>
      </c>
      <c r="G7" s="21">
        <v>1.1850000000000001</v>
      </c>
      <c r="H7" s="21">
        <v>1.1850000000000001</v>
      </c>
      <c r="I7" s="21">
        <v>1.1850000000000001</v>
      </c>
      <c r="J7" s="21">
        <v>1.1850000000000001</v>
      </c>
      <c r="K7" s="21">
        <v>1.1850000000000001</v>
      </c>
      <c r="L7" s="21">
        <v>1.1850000000000001</v>
      </c>
      <c r="M7" s="21">
        <v>1.1850000000000001</v>
      </c>
      <c r="N7" s="21">
        <v>1.1850000000000001</v>
      </c>
      <c r="O7" s="21">
        <v>1.1850000000000001</v>
      </c>
      <c r="P7" s="21">
        <v>1.1850000000000001</v>
      </c>
      <c r="Q7" s="21">
        <v>1.1850000000000001</v>
      </c>
    </row>
    <row r="8" spans="2:17" ht="14.45" x14ac:dyDescent="0.3">
      <c r="B8" s="14" t="s">
        <v>4</v>
      </c>
      <c r="C8" s="14">
        <f>C7*(C6/(C6-1))</f>
        <v>1004.402</v>
      </c>
      <c r="D8" s="2"/>
      <c r="E8" s="2"/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ht="14.45" x14ac:dyDescent="0.3">
      <c r="B9" s="2"/>
      <c r="C9" s="2"/>
      <c r="D9" s="2"/>
      <c r="E9" s="2"/>
      <c r="F9" s="3" t="s">
        <v>14</v>
      </c>
      <c r="G9" s="6">
        <f>G4*G7*G12</f>
        <v>1.3666963331192272</v>
      </c>
      <c r="H9" s="6">
        <f>H4*H7*H12</f>
        <v>1.3667003714783417</v>
      </c>
      <c r="I9" s="6">
        <f t="shared" ref="I9:Q9" si="3">I4*I7*I12</f>
        <v>1.3669251884098725</v>
      </c>
      <c r="J9" s="6">
        <f t="shared" si="3"/>
        <v>1.3671817912822168</v>
      </c>
      <c r="K9" s="6">
        <f t="shared" si="3"/>
        <v>1.3674478827502272</v>
      </c>
      <c r="L9" s="6">
        <f t="shared" si="3"/>
        <v>1.36770026588791</v>
      </c>
      <c r="M9" s="6">
        <f t="shared" si="3"/>
        <v>1.3679171440280218</v>
      </c>
      <c r="N9" s="6">
        <f t="shared" si="3"/>
        <v>1.3680814635648844</v>
      </c>
      <c r="O9" s="6">
        <f t="shared" si="3"/>
        <v>1.3681850539064733</v>
      </c>
      <c r="P9" s="6">
        <f t="shared" si="3"/>
        <v>1.3682325297172326</v>
      </c>
      <c r="Q9" s="6">
        <f t="shared" si="3"/>
        <v>1.3682425610246536</v>
      </c>
    </row>
    <row r="10" spans="2:17" x14ac:dyDescent="0.25">
      <c r="B10" s="15" t="s">
        <v>5</v>
      </c>
      <c r="C10" s="15">
        <v>135000</v>
      </c>
      <c r="D10" s="2"/>
      <c r="E10" s="2"/>
      <c r="F10" s="3" t="s">
        <v>15</v>
      </c>
      <c r="G10" s="10">
        <f>(G12)*(G9-H9)</f>
        <v>-2.3164811390438144E-4</v>
      </c>
      <c r="H10" s="10">
        <f>(H12)*(H9-I9)</f>
        <v>-1.4289167291770162E-2</v>
      </c>
      <c r="I10" s="10">
        <f t="shared" ref="I10:P10" si="4">(I12)*(I9-J9)</f>
        <v>-1.817494243035182E-2</v>
      </c>
      <c r="J10" s="10">
        <f t="shared" si="4"/>
        <v>-2.1133487274772357E-2</v>
      </c>
      <c r="K10" s="10">
        <f t="shared" si="4"/>
        <v>-2.2633042942868973E-2</v>
      </c>
      <c r="L10" s="10">
        <f t="shared" si="4"/>
        <v>-2.2132781049266841E-2</v>
      </c>
      <c r="M10" s="10">
        <f t="shared" si="4"/>
        <v>-1.9253279596606658E-2</v>
      </c>
      <c r="N10" s="10">
        <f t="shared" si="4"/>
        <v>-1.4078497674358457E-2</v>
      </c>
      <c r="O10" s="10">
        <f t="shared" si="4"/>
        <v>-7.5729751918951213E-3</v>
      </c>
      <c r="P10" s="10">
        <f t="shared" si="4"/>
        <v>-1.9043373072512412E-3</v>
      </c>
      <c r="Q10" s="18">
        <v>0</v>
      </c>
    </row>
    <row r="11" spans="2:17" ht="14.45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25">
      <c r="B12" s="15" t="s">
        <v>12</v>
      </c>
      <c r="C12" s="15">
        <v>101325</v>
      </c>
      <c r="D12" s="2"/>
      <c r="E12" s="2"/>
      <c r="F12" s="3" t="s">
        <v>11</v>
      </c>
      <c r="G12" s="16">
        <f>(H4*H5*H7)/(G4*G7)</f>
        <v>57.361940169170005</v>
      </c>
      <c r="H12" s="5">
        <f>((G6-H6)/H7+G5*H5)^0.5</f>
        <v>63.559124281563086</v>
      </c>
      <c r="I12" s="5">
        <f t="shared" ref="I12:Q12" si="5">((H6-I6)/I7+H5*I5)^0.5</f>
        <v>70.82906853032101</v>
      </c>
      <c r="J12" s="5">
        <f t="shared" si="5"/>
        <v>79.421889896703618</v>
      </c>
      <c r="K12" s="5">
        <f t="shared" si="5"/>
        <v>89.677318186414354</v>
      </c>
      <c r="L12" s="5">
        <f t="shared" si="5"/>
        <v>102.0516915068732</v>
      </c>
      <c r="M12" s="5">
        <f t="shared" si="5"/>
        <v>117.16975330029275</v>
      </c>
      <c r="N12" s="5">
        <f t="shared" si="5"/>
        <v>135.90550488025008</v>
      </c>
      <c r="O12" s="5">
        <f t="shared" si="5"/>
        <v>159.51228785283837</v>
      </c>
      <c r="P12" s="5">
        <f t="shared" si="5"/>
        <v>189.83939254770934</v>
      </c>
      <c r="Q12" s="5">
        <f t="shared" si="5"/>
        <v>229.70734908838384</v>
      </c>
    </row>
    <row r="13" spans="2:17" x14ac:dyDescent="0.25">
      <c r="B13" s="2"/>
      <c r="C13" s="2"/>
      <c r="D13" s="2"/>
      <c r="E13" s="2"/>
      <c r="F13" s="3" t="s">
        <v>12</v>
      </c>
      <c r="G13" s="17">
        <f>C10-(G7*G12^2)/2</f>
        <v>133050.44263336691</v>
      </c>
      <c r="H13" s="4">
        <f>H6+H10</f>
        <v>132583.65753372345</v>
      </c>
      <c r="I13" s="4">
        <f t="shared" ref="I13:P13" si="6">I6+I10</f>
        <v>131973.43766056857</v>
      </c>
      <c r="J13" s="4">
        <f t="shared" si="6"/>
        <v>131164.68326698968</v>
      </c>
      <c r="K13" s="4">
        <f t="shared" si="6"/>
        <v>130074.81834468072</v>
      </c>
      <c r="L13" s="4">
        <f t="shared" si="6"/>
        <v>128578.3249034601</v>
      </c>
      <c r="M13" s="4">
        <f t="shared" si="6"/>
        <v>126479.19923997758</v>
      </c>
      <c r="N13" s="4">
        <f t="shared" si="6"/>
        <v>123461.81066193526</v>
      </c>
      <c r="O13" s="4">
        <f t="shared" si="6"/>
        <v>118999.58545778655</v>
      </c>
      <c r="P13" s="4">
        <f t="shared" si="6"/>
        <v>112177.19630733474</v>
      </c>
      <c r="Q13" s="17">
        <f>Q6+Q10</f>
        <v>101325</v>
      </c>
    </row>
    <row r="14" spans="2:17" ht="14.45" x14ac:dyDescent="0.3">
      <c r="B14" s="12" t="s">
        <v>7</v>
      </c>
      <c r="C14" s="12">
        <v>2100</v>
      </c>
      <c r="D14" s="2">
        <v>2101</v>
      </c>
      <c r="E14" s="2"/>
      <c r="F14" s="3" t="s">
        <v>13</v>
      </c>
      <c r="G14" s="6">
        <v>1.1850000000000001</v>
      </c>
      <c r="H14" s="6">
        <v>1.1850000000000001</v>
      </c>
      <c r="I14" s="6">
        <v>1.1850000000000001</v>
      </c>
      <c r="J14" s="6">
        <v>1.1850000000000001</v>
      </c>
      <c r="K14" s="6">
        <v>1.1850000000000001</v>
      </c>
      <c r="L14" s="6">
        <v>1.1850000000000001</v>
      </c>
      <c r="M14" s="6">
        <v>1.1850000000000001</v>
      </c>
      <c r="N14" s="6">
        <v>1.1850000000000001</v>
      </c>
      <c r="O14" s="6">
        <v>1.1850000000000001</v>
      </c>
      <c r="P14" s="6">
        <v>1.1850000000000001</v>
      </c>
      <c r="Q14" s="6">
        <v>1.1850000000000001</v>
      </c>
    </row>
    <row r="15" spans="2:17" ht="14.45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ht="14.45" x14ac:dyDescent="0.3">
      <c r="B16" s="2"/>
      <c r="C16" s="2"/>
      <c r="D16" s="2"/>
      <c r="E16" s="2"/>
      <c r="F16" s="3" t="s">
        <v>16</v>
      </c>
      <c r="G16" s="3">
        <f>$C$11-(G12^2)/(2*$C$8)</f>
        <v>286.52201432296459</v>
      </c>
      <c r="H16" s="3">
        <f t="shared" ref="H16:Q16" si="7">$C$11-(H12^2)/(2*$C$8)</f>
        <v>286.14897140814179</v>
      </c>
      <c r="I16" s="3">
        <f t="shared" si="7"/>
        <v>285.66261501427073</v>
      </c>
      <c r="J16" s="3">
        <f t="shared" si="7"/>
        <v>285.01990440343405</v>
      </c>
      <c r="K16" s="3">
        <f t="shared" si="7"/>
        <v>284.15661221447817</v>
      </c>
      <c r="L16" s="3">
        <f t="shared" si="7"/>
        <v>282.97554808761134</v>
      </c>
      <c r="M16" s="3">
        <f t="shared" si="7"/>
        <v>281.32570900473547</v>
      </c>
      <c r="N16" s="3">
        <f t="shared" si="7"/>
        <v>278.96532184486114</v>
      </c>
      <c r="O16" s="3">
        <f t="shared" si="7"/>
        <v>275.49367218700945</v>
      </c>
      <c r="P16" s="3">
        <f t="shared" si="7"/>
        <v>270.21947670211568</v>
      </c>
      <c r="Q16" s="3">
        <f t="shared" si="7"/>
        <v>261.89289468499038</v>
      </c>
    </row>
    <row r="17" spans="2:22" ht="14.45" x14ac:dyDescent="0.3">
      <c r="B17" s="2"/>
      <c r="C17" s="2"/>
      <c r="D17" s="2"/>
      <c r="E17" s="2"/>
      <c r="F17" s="3" t="s">
        <v>17</v>
      </c>
      <c r="G17" s="3">
        <f>SQRT($C$6*$C$7*G16)</f>
        <v>339.28352994509726</v>
      </c>
      <c r="H17" s="3">
        <f t="shared" ref="H17:Q17" si="8">SQRT($C$6*$C$7*H16)</f>
        <v>339.06258960863283</v>
      </c>
      <c r="I17" s="3">
        <f t="shared" si="8"/>
        <v>338.77432124974496</v>
      </c>
      <c r="J17" s="3">
        <f t="shared" si="8"/>
        <v>338.39300348713948</v>
      </c>
      <c r="K17" s="3">
        <f t="shared" si="8"/>
        <v>337.88013828660974</v>
      </c>
      <c r="L17" s="3">
        <f t="shared" si="8"/>
        <v>337.17722725610815</v>
      </c>
      <c r="M17" s="3">
        <f t="shared" si="8"/>
        <v>336.19286415733114</v>
      </c>
      <c r="N17" s="3">
        <f t="shared" si="8"/>
        <v>334.77952577278211</v>
      </c>
      <c r="O17" s="3">
        <f t="shared" si="8"/>
        <v>332.68988282301382</v>
      </c>
      <c r="P17" s="3">
        <f t="shared" si="8"/>
        <v>329.48989838145775</v>
      </c>
      <c r="Q17" s="3">
        <f t="shared" si="8"/>
        <v>324.37370251448789</v>
      </c>
    </row>
    <row r="18" spans="2:22" ht="14.45" x14ac:dyDescent="0.3">
      <c r="B18" s="2"/>
      <c r="C18" s="2"/>
      <c r="D18" s="2"/>
      <c r="E18" s="2"/>
      <c r="F18" s="3" t="s">
        <v>18</v>
      </c>
      <c r="G18" s="3">
        <f>G12/G17</f>
        <v>0.16906785949336325</v>
      </c>
      <c r="H18" s="3">
        <f t="shared" ref="H18:Q18" si="9">H12/H17</f>
        <v>0.18745543221069297</v>
      </c>
      <c r="I18" s="3">
        <f t="shared" si="9"/>
        <v>0.20907449026547001</v>
      </c>
      <c r="J18" s="3">
        <f t="shared" si="9"/>
        <v>0.23470310874711103</v>
      </c>
      <c r="K18" s="3">
        <f t="shared" si="9"/>
        <v>0.26541162981987654</v>
      </c>
      <c r="L18" s="3">
        <f t="shared" si="9"/>
        <v>0.30266483990438142</v>
      </c>
      <c r="M18" s="3">
        <f t="shared" si="9"/>
        <v>0.34851945354039338</v>
      </c>
      <c r="N18" s="3">
        <f t="shared" si="9"/>
        <v>0.40595524641638442</v>
      </c>
      <c r="O18" s="3">
        <f t="shared" si="9"/>
        <v>0.47946239452582506</v>
      </c>
      <c r="P18" s="3">
        <f t="shared" si="9"/>
        <v>0.57616149533036087</v>
      </c>
      <c r="Q18" s="3">
        <f t="shared" si="9"/>
        <v>0.7081565099381758</v>
      </c>
    </row>
    <row r="19" spans="2:22" ht="14.45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ht="14.45" x14ac:dyDescent="0.3">
      <c r="B20" s="2"/>
      <c r="C20" s="2"/>
      <c r="D20" s="2"/>
      <c r="E20" s="2"/>
      <c r="F20" s="11" t="s">
        <v>20</v>
      </c>
      <c r="G20" s="11">
        <f>1-((($C$6-1)/($C$6+1))*G21^2)</f>
        <v>0.99459235536867718</v>
      </c>
      <c r="H20" s="11">
        <f t="shared" ref="H20:Q20" si="10">1-((($C$6-1)/($C$6+1))*H21^2)</f>
        <v>0.9934335745165318</v>
      </c>
      <c r="I20" s="11">
        <f t="shared" si="10"/>
        <v>0.99196042555157893</v>
      </c>
      <c r="J20" s="11">
        <f t="shared" si="10"/>
        <v>0.99007620549130937</v>
      </c>
      <c r="K20" s="11">
        <f t="shared" si="10"/>
        <v>0.98765112516205777</v>
      </c>
      <c r="L20" s="11">
        <f t="shared" si="10"/>
        <v>0.98451570733030835</v>
      </c>
      <c r="M20" s="11">
        <f t="shared" si="10"/>
        <v>0.9804549489867217</v>
      </c>
      <c r="N20" s="11">
        <f t="shared" si="10"/>
        <v>0.97521062787936008</v>
      </c>
      <c r="O20" s="11">
        <f t="shared" si="10"/>
        <v>0.96850401863499058</v>
      </c>
      <c r="P20" s="11">
        <f t="shared" si="10"/>
        <v>0.96009889378496471</v>
      </c>
      <c r="Q20" s="11">
        <f t="shared" si="10"/>
        <v>0.94992582806459369</v>
      </c>
    </row>
    <row r="21" spans="2:22" ht="14.45" x14ac:dyDescent="0.3">
      <c r="B21" s="2"/>
      <c r="C21" s="2"/>
      <c r="D21" s="2"/>
      <c r="E21" s="2"/>
      <c r="F21" s="11" t="s">
        <v>19</v>
      </c>
      <c r="G21" s="11">
        <f>SQRT(((($C$6+1)/2)*G18^2)/(1+2*G18^2))</f>
        <v>0.18012736546104449</v>
      </c>
      <c r="H21" s="11">
        <f t="shared" ref="H21:Q21" si="11">SQRT(((($C$6+1)/2)*H18^2)/(1+2*H18^2))</f>
        <v>0.19849068718911952</v>
      </c>
      <c r="I21" s="11">
        <f t="shared" si="11"/>
        <v>0.21963024994414249</v>
      </c>
      <c r="J21" s="11">
        <f t="shared" si="11"/>
        <v>0.24401386651611354</v>
      </c>
      <c r="K21" s="11">
        <f t="shared" si="11"/>
        <v>0.27220075133557836</v>
      </c>
      <c r="L21" s="11">
        <f t="shared" si="11"/>
        <v>0.30480445537778816</v>
      </c>
      <c r="M21" s="11">
        <f t="shared" si="11"/>
        <v>0.3424475231034233</v>
      </c>
      <c r="N21" s="11">
        <f t="shared" si="11"/>
        <v>0.38566336710120586</v>
      </c>
      <c r="O21" s="11">
        <f t="shared" si="11"/>
        <v>0.43471357028514379</v>
      </c>
      <c r="P21" s="11">
        <f t="shared" si="11"/>
        <v>0.48929197550155235</v>
      </c>
      <c r="Q21" s="11">
        <f t="shared" si="11"/>
        <v>0.54812866337424626</v>
      </c>
    </row>
    <row r="22" spans="2:22" ht="14.45" x14ac:dyDescent="0.3">
      <c r="B22" s="2"/>
      <c r="C22" s="2"/>
      <c r="D22" s="2"/>
      <c r="E22" s="2"/>
      <c r="F22" s="11" t="s">
        <v>21</v>
      </c>
      <c r="G22" s="11">
        <f>(1-((($C$6-1)/($C$6+1))*G21^2))^($C$6/($C$6-1))</f>
        <v>0.98120083457136054</v>
      </c>
      <c r="H22" s="11">
        <f t="shared" ref="H22:Q22" si="12">(1-((($C$6-1)/($C$6+1))*H21^2))^($C$6/($C$6-1))</f>
        <v>0.97720553297139401</v>
      </c>
      <c r="I22" s="11">
        <f t="shared" si="12"/>
        <v>0.97214313093338578</v>
      </c>
      <c r="J22" s="11">
        <f t="shared" si="12"/>
        <v>0.96569544143026032</v>
      </c>
      <c r="K22" s="11">
        <f t="shared" si="12"/>
        <v>0.95744198942442293</v>
      </c>
      <c r="L22" s="11">
        <f t="shared" si="12"/>
        <v>0.94684583468535755</v>
      </c>
      <c r="M22" s="11">
        <f t="shared" si="12"/>
        <v>0.93324731817462836</v>
      </c>
      <c r="N22" s="11">
        <f t="shared" si="12"/>
        <v>0.91589247229469972</v>
      </c>
      <c r="O22" s="11">
        <f t="shared" si="12"/>
        <v>0.89403597527738221</v>
      </c>
      <c r="P22" s="11">
        <f t="shared" si="12"/>
        <v>0.86717328992627773</v>
      </c>
      <c r="Q22" s="11">
        <f t="shared" si="12"/>
        <v>0.83543744419327803</v>
      </c>
    </row>
    <row r="23" spans="2:22" ht="14.45" x14ac:dyDescent="0.3">
      <c r="B23" s="2"/>
      <c r="C23" s="2"/>
      <c r="D23" s="2"/>
      <c r="E23" s="2"/>
      <c r="F23" s="11" t="s">
        <v>5</v>
      </c>
      <c r="G23" s="11">
        <f>G14/G22</f>
        <v>1.2077038239757201</v>
      </c>
      <c r="H23" s="11">
        <f t="shared" ref="H23:Q23" si="13">H14/H22</f>
        <v>1.2126415170785663</v>
      </c>
      <c r="I23" s="11">
        <f t="shared" si="13"/>
        <v>1.2189563062203028</v>
      </c>
      <c r="J23" s="11">
        <f t="shared" si="13"/>
        <v>1.2270949506036135</v>
      </c>
      <c r="K23" s="11">
        <f t="shared" si="13"/>
        <v>1.237672896205833</v>
      </c>
      <c r="L23" s="11">
        <f t="shared" si="13"/>
        <v>1.2515236975127872</v>
      </c>
      <c r="M23" s="11">
        <f t="shared" si="13"/>
        <v>1.2697598770685821</v>
      </c>
      <c r="N23" s="11">
        <f t="shared" si="13"/>
        <v>1.293820001633021</v>
      </c>
      <c r="O23" s="11">
        <f t="shared" si="13"/>
        <v>1.325450018532357</v>
      </c>
      <c r="P23" s="11">
        <f t="shared" si="13"/>
        <v>1.3665088786357134</v>
      </c>
      <c r="Q23" s="11">
        <f t="shared" si="13"/>
        <v>1.418418588053914</v>
      </c>
    </row>
    <row r="26" spans="2:22" ht="14.45" x14ac:dyDescent="0.3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ht="14.45" x14ac:dyDescent="0.3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ht="14.45" x14ac:dyDescent="0.3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ht="14.45" x14ac:dyDescent="0.3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V24"/>
  <sheetViews>
    <sheetView tabSelected="1" zoomScale="80" zoomScaleNormal="80" workbookViewId="0">
      <selection activeCell="Q51" sqref="Q51"/>
    </sheetView>
  </sheetViews>
  <sheetFormatPr defaultRowHeight="15" x14ac:dyDescent="0.25"/>
  <cols>
    <col min="7" max="7" width="11.14062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19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19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7">
        <f>(PI()*(2*G3)^2)/4</f>
        <v>2.0106192982974676E-2</v>
      </c>
      <c r="H4" s="7">
        <f t="shared" ref="H4:Q4" si="2">(PI()*(2*H3)^2)/4</f>
        <v>1.8145839167134643E-2</v>
      </c>
      <c r="I4" s="7">
        <f t="shared" si="2"/>
        <v>1.6286016316209486E-2</v>
      </c>
      <c r="J4" s="7">
        <f t="shared" si="2"/>
        <v>1.4526724430199199E-2</v>
      </c>
      <c r="K4" s="7">
        <f t="shared" si="2"/>
        <v>1.2867963509103787E-2</v>
      </c>
      <c r="L4" s="7">
        <f t="shared" si="2"/>
        <v>1.1309733552923249E-2</v>
      </c>
      <c r="M4" s="7">
        <f t="shared" si="2"/>
        <v>9.8520345616575841E-3</v>
      </c>
      <c r="N4" s="7">
        <f t="shared" si="2"/>
        <v>8.4948665353067939E-3</v>
      </c>
      <c r="O4" s="7">
        <f t="shared" si="2"/>
        <v>7.2382294738708754E-3</v>
      </c>
      <c r="P4" s="7">
        <f t="shared" si="2"/>
        <v>6.0821233773498311E-3</v>
      </c>
      <c r="Q4" s="7">
        <f t="shared" si="2"/>
        <v>5.0265482457436689E-3</v>
      </c>
    </row>
    <row r="5" spans="2:17" x14ac:dyDescent="0.3">
      <c r="B5" s="2"/>
      <c r="C5" s="2"/>
      <c r="D5" s="2"/>
      <c r="E5" s="2"/>
      <c r="F5" s="13" t="s">
        <v>11</v>
      </c>
      <c r="G5" s="20">
        <v>41.933062687226695</v>
      </c>
      <c r="H5" s="20">
        <v>46.551386940871602</v>
      </c>
      <c r="I5" s="20">
        <v>51.991442662699896</v>
      </c>
      <c r="J5" s="20">
        <v>58.486335177502596</v>
      </c>
      <c r="K5" s="20">
        <v>66.342073094497692</v>
      </c>
      <c r="L5" s="20">
        <v>75.99585506347006</v>
      </c>
      <c r="M5" s="20">
        <v>88.101272594774684</v>
      </c>
      <c r="N5" s="20">
        <v>103.70025337999361</v>
      </c>
      <c r="O5" s="20">
        <v>124.62615939424906</v>
      </c>
      <c r="P5" s="20">
        <v>154.71264266962615</v>
      </c>
      <c r="Q5" s="20">
        <v>205.86865898669578</v>
      </c>
    </row>
    <row r="6" spans="2:17" x14ac:dyDescent="0.3">
      <c r="B6" s="14" t="s">
        <v>2</v>
      </c>
      <c r="C6" s="14">
        <v>1.4</v>
      </c>
      <c r="D6" s="2"/>
      <c r="E6" s="2"/>
      <c r="F6" s="13" t="s">
        <v>12</v>
      </c>
      <c r="G6" s="20">
        <v>133575.51445170629</v>
      </c>
      <c r="H6" s="20">
        <v>133227.85858173415</v>
      </c>
      <c r="I6" s="20">
        <v>132771.60956635035</v>
      </c>
      <c r="J6" s="20">
        <v>132160.88642409007</v>
      </c>
      <c r="K6" s="20">
        <v>131326.83841130373</v>
      </c>
      <c r="L6" s="20">
        <v>130160.38230722559</v>
      </c>
      <c r="M6" s="20">
        <v>128480.77690377602</v>
      </c>
      <c r="N6" s="20">
        <v>125969.8958123503</v>
      </c>
      <c r="O6" s="20">
        <v>122015.72675961358</v>
      </c>
      <c r="P6" s="20">
        <v>115248.62599135554</v>
      </c>
      <c r="Q6" s="20">
        <v>101325</v>
      </c>
    </row>
    <row r="7" spans="2:17" x14ac:dyDescent="0.3">
      <c r="B7" s="14" t="s">
        <v>3</v>
      </c>
      <c r="C7" s="14">
        <v>286.97199999999998</v>
      </c>
      <c r="D7" s="2"/>
      <c r="E7" s="2"/>
      <c r="F7" s="13" t="s">
        <v>13</v>
      </c>
      <c r="G7" s="21">
        <v>1.6202233645323596</v>
      </c>
      <c r="H7" s="21">
        <v>1.6171515456613619</v>
      </c>
      <c r="I7" s="21">
        <v>1.6131130011710286</v>
      </c>
      <c r="J7" s="21">
        <v>1.6076952220733001</v>
      </c>
      <c r="K7" s="21">
        <v>1.600276374519144</v>
      </c>
      <c r="L7" s="21">
        <v>1.5898655462167672</v>
      </c>
      <c r="M7" s="21">
        <v>1.5748084631441936</v>
      </c>
      <c r="N7" s="21">
        <v>1.5521638367984489</v>
      </c>
      <c r="O7" s="21">
        <v>1.5161934251354421</v>
      </c>
      <c r="P7" s="21">
        <v>1.4537933179322224</v>
      </c>
      <c r="Q7" s="21">
        <v>1.3221024765583353</v>
      </c>
    </row>
    <row r="8" spans="2:17" x14ac:dyDescent="0.3">
      <c r="B8" s="14" t="s">
        <v>4</v>
      </c>
      <c r="C8" s="14">
        <f>C7*(C6/(C6-1))</f>
        <v>1004.402</v>
      </c>
      <c r="D8" s="2"/>
      <c r="E8" s="2"/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B9" s="2"/>
      <c r="C9" s="2"/>
      <c r="D9" s="2"/>
      <c r="E9" s="2"/>
      <c r="F9" s="3" t="s">
        <v>14</v>
      </c>
      <c r="G9" s="6">
        <f>G4*G7*G12</f>
        <v>1.3660305191040134</v>
      </c>
      <c r="H9" s="6">
        <f>H4*H7*H12</f>
        <v>1.3660276794910102</v>
      </c>
      <c r="I9" s="6">
        <f t="shared" ref="I9:Q9" si="3">I4*I7*I12</f>
        <v>1.3658771086896666</v>
      </c>
      <c r="J9" s="6">
        <f t="shared" si="3"/>
        <v>1.3659242672573835</v>
      </c>
      <c r="K9" s="6">
        <f t="shared" si="3"/>
        <v>1.3661394697588616</v>
      </c>
      <c r="L9" s="6">
        <f t="shared" si="3"/>
        <v>1.366482223242276</v>
      </c>
      <c r="M9" s="6">
        <f t="shared" si="3"/>
        <v>1.3669009817615767</v>
      </c>
      <c r="N9" s="6">
        <f t="shared" si="3"/>
        <v>1.3673348461226706</v>
      </c>
      <c r="O9" s="6">
        <f t="shared" si="3"/>
        <v>1.3677186458786699</v>
      </c>
      <c r="P9" s="6">
        <f t="shared" si="3"/>
        <v>1.3679932839141384</v>
      </c>
      <c r="Q9" s="6">
        <f t="shared" si="3"/>
        <v>1.368123315349423</v>
      </c>
    </row>
    <row r="10" spans="2:17" x14ac:dyDescent="0.3">
      <c r="B10" s="22" t="s">
        <v>5</v>
      </c>
      <c r="C10" s="22">
        <v>135000</v>
      </c>
      <c r="D10" s="2"/>
      <c r="E10" s="2"/>
      <c r="F10" s="3" t="s">
        <v>15</v>
      </c>
      <c r="G10" s="10">
        <f>(G12)*(G9-H9)</f>
        <v>1.1907341824808284E-4</v>
      </c>
      <c r="H10" s="10">
        <f>(H12)*(H9-I9)</f>
        <v>7.00926506492158E-3</v>
      </c>
      <c r="I10" s="10">
        <f t="shared" ref="I10:P10" si="4">(I12)*(I9-J9)</f>
        <v>-2.4518425401874764E-3</v>
      </c>
      <c r="J10" s="10">
        <f t="shared" si="4"/>
        <v>-1.2586428610306932E-2</v>
      </c>
      <c r="K10" s="10">
        <f t="shared" si="4"/>
        <v>-2.273903875499254E-2</v>
      </c>
      <c r="L10" s="10">
        <f t="shared" si="4"/>
        <v>-3.1824007666735953E-2</v>
      </c>
      <c r="M10" s="10">
        <f t="shared" si="4"/>
        <v>-3.8224108576376328E-2</v>
      </c>
      <c r="N10" s="10">
        <f t="shared" si="4"/>
        <v>-3.980021841213343E-2</v>
      </c>
      <c r="O10" s="10">
        <f t="shared" si="4"/>
        <v>-3.4227130838203675E-2</v>
      </c>
      <c r="P10" s="10">
        <f t="shared" si="4"/>
        <v>-2.0117519340003359E-2</v>
      </c>
      <c r="Q10" s="26">
        <v>0</v>
      </c>
    </row>
    <row r="11" spans="2:17" x14ac:dyDescent="0.3">
      <c r="B11" s="22" t="s">
        <v>6</v>
      </c>
      <c r="C11" s="22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22" t="s">
        <v>12</v>
      </c>
      <c r="C12" s="22">
        <v>101325</v>
      </c>
      <c r="D12" s="2"/>
      <c r="E12" s="2"/>
      <c r="F12" s="3" t="s">
        <v>11</v>
      </c>
      <c r="G12" s="24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3">
      <c r="B13" s="2"/>
      <c r="C13" s="2"/>
      <c r="D13" s="2"/>
      <c r="E13" s="2"/>
      <c r="F13" s="3" t="s">
        <v>12</v>
      </c>
      <c r="G13" s="25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25">
        <f>Q6+Q10</f>
        <v>101325</v>
      </c>
    </row>
    <row r="14" spans="2:17" x14ac:dyDescent="0.3">
      <c r="B14" s="23" t="s">
        <v>7</v>
      </c>
      <c r="C14" s="23">
        <v>2100</v>
      </c>
      <c r="D14" s="2">
        <v>2100</v>
      </c>
      <c r="E14" s="2"/>
      <c r="F14" s="3" t="s">
        <v>13</v>
      </c>
      <c r="G14" s="6">
        <f>G13/($C$7*G16)</f>
        <v>1.6202234161726006</v>
      </c>
      <c r="H14" s="6">
        <f t="shared" ref="H14:Q14" si="7">H13/($C$7*H16)</f>
        <v>1.6171516054775055</v>
      </c>
      <c r="I14" s="6">
        <f t="shared" si="7"/>
        <v>1.6131129749053561</v>
      </c>
      <c r="J14" s="6">
        <f t="shared" si="7"/>
        <v>1.6076951038575533</v>
      </c>
      <c r="K14" s="6">
        <f t="shared" si="7"/>
        <v>1.6002761644071399</v>
      </c>
      <c r="L14" s="6">
        <f t="shared" si="7"/>
        <v>1.589865254089625</v>
      </c>
      <c r="M14" s="6">
        <f t="shared" si="7"/>
        <v>1.5748081135926431</v>
      </c>
      <c r="N14" s="6">
        <f t="shared" si="7"/>
        <v>1.5521634740564856</v>
      </c>
      <c r="O14" s="6">
        <f t="shared" si="7"/>
        <v>1.5161931152506469</v>
      </c>
      <c r="P14" s="6">
        <f t="shared" si="7"/>
        <v>1.4537931411973446</v>
      </c>
      <c r="Q14" s="6">
        <f t="shared" si="7"/>
        <v>1.3221024931393905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 x14ac:dyDescent="0.3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 x14ac:dyDescent="0.3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 x14ac:dyDescent="0.3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 x14ac:dyDescent="0.3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stud204</cp:lastModifiedBy>
  <dcterms:created xsi:type="dcterms:W3CDTF">2021-05-18T04:26:27Z</dcterms:created>
  <dcterms:modified xsi:type="dcterms:W3CDTF">2021-05-24T19:50:50Z</dcterms:modified>
</cp:coreProperties>
</file>